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Raw Data" sheetId="1" state="visible" r:id="rId3"/>
    <sheet name="Monthly Summary" sheetId="2" state="visible" r:id="rId4"/>
    <sheet name="Category Breakdown" sheetId="3" state="visible" r:id="rId5"/>
    <sheet name="Dashboard" sheetId="4" state="visible" r:id="rId6"/>
    <sheet name="READM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<sst xmlns="http://schemas.openxmlformats.org/spreadsheetml/2006/main" count="331" uniqueCount="189">
  <si>
    <t xml:space="preserve">💰 Personal Finance Tracker — Transaction Log</t>
  </si>
  <si>
    <t xml:space="preserve">Date</t>
  </si>
  <si>
    <t xml:space="preserve">Month</t>
  </si>
  <si>
    <t xml:space="preserve">Category</t>
  </si>
  <si>
    <t xml:space="preserve">Sub-Category</t>
  </si>
  <si>
    <t xml:space="preserve">Description</t>
  </si>
  <si>
    <t xml:space="preserve">Type</t>
  </si>
  <si>
    <t xml:space="preserve">Amount (₹)</t>
  </si>
  <si>
    <t xml:space="preserve">2025-01-05</t>
  </si>
  <si>
    <t xml:space="preserve">January</t>
  </si>
  <si>
    <t xml:space="preserve">Income</t>
  </si>
  <si>
    <t xml:space="preserve">Salary</t>
  </si>
  <si>
    <t xml:space="preserve">Monthly Salary</t>
  </si>
  <si>
    <t xml:space="preserve">2025-01-08</t>
  </si>
  <si>
    <t xml:space="preserve">Freelance</t>
  </si>
  <si>
    <t xml:space="preserve">Web Design Project</t>
  </si>
  <si>
    <t xml:space="preserve">2025-01-10</t>
  </si>
  <si>
    <t xml:space="preserve">Housing</t>
  </si>
  <si>
    <t xml:space="preserve">Rent</t>
  </si>
  <si>
    <t xml:space="preserve">House Rent January</t>
  </si>
  <si>
    <t xml:space="preserve">Expense</t>
  </si>
  <si>
    <t xml:space="preserve">2025-01-12</t>
  </si>
  <si>
    <t xml:space="preserve">Food</t>
  </si>
  <si>
    <t xml:space="preserve">Groceries</t>
  </si>
  <si>
    <t xml:space="preserve">Big Bazaar Monthly Shopping</t>
  </si>
  <si>
    <t xml:space="preserve">2025-01-14</t>
  </si>
  <si>
    <t xml:space="preserve">Transport</t>
  </si>
  <si>
    <t xml:space="preserve">Fuel</t>
  </si>
  <si>
    <t xml:space="preserve">Petrol for Bike</t>
  </si>
  <si>
    <t xml:space="preserve">2025-01-15</t>
  </si>
  <si>
    <t xml:space="preserve">Utilities</t>
  </si>
  <si>
    <t xml:space="preserve">Electricity</t>
  </si>
  <si>
    <t xml:space="preserve">EB Bill January</t>
  </si>
  <si>
    <t xml:space="preserve">2025-01-16</t>
  </si>
  <si>
    <t xml:space="preserve">Dining Out</t>
  </si>
  <si>
    <t xml:space="preserve">Family Dinner - Hotel</t>
  </si>
  <si>
    <t xml:space="preserve">2025-01-18</t>
  </si>
  <si>
    <t xml:space="preserve">Entertainment</t>
  </si>
  <si>
    <t xml:space="preserve">OTT</t>
  </si>
  <si>
    <t xml:space="preserve">Netflix + Hotstar</t>
  </si>
  <si>
    <t xml:space="preserve">2025-01-20</t>
  </si>
  <si>
    <t xml:space="preserve">Healthcare</t>
  </si>
  <si>
    <t xml:space="preserve">Medicine</t>
  </si>
  <si>
    <t xml:space="preserve">Monthly Medicines</t>
  </si>
  <si>
    <t xml:space="preserve">2025-01-22</t>
  </si>
  <si>
    <t xml:space="preserve">Education</t>
  </si>
  <si>
    <t xml:space="preserve">Books</t>
  </si>
  <si>
    <t xml:space="preserve">Online Course - SQL</t>
  </si>
  <si>
    <t xml:space="preserve">2025-01-25</t>
  </si>
  <si>
    <t xml:space="preserve">Savings</t>
  </si>
  <si>
    <t xml:space="preserve">FD</t>
  </si>
  <si>
    <t xml:space="preserve">Fixed Deposit</t>
  </si>
  <si>
    <t xml:space="preserve">2025-01-28</t>
  </si>
  <si>
    <t xml:space="preserve">Mobile</t>
  </si>
  <si>
    <t xml:space="preserve">Jio Recharge</t>
  </si>
  <si>
    <t xml:space="preserve">2025-01-30</t>
  </si>
  <si>
    <t xml:space="preserve">Local Market</t>
  </si>
  <si>
    <t xml:space="preserve">2025-02-05</t>
  </si>
  <si>
    <t xml:space="preserve">February</t>
  </si>
  <si>
    <t xml:space="preserve">2025-02-06</t>
  </si>
  <si>
    <t xml:space="preserve">Logo Design Work</t>
  </si>
  <si>
    <t xml:space="preserve">2025-02-10</t>
  </si>
  <si>
    <t xml:space="preserve">House Rent February</t>
  </si>
  <si>
    <t xml:space="preserve">2025-02-12</t>
  </si>
  <si>
    <t xml:space="preserve">D-Mart Monthly</t>
  </si>
  <si>
    <t xml:space="preserve">2025-02-13</t>
  </si>
  <si>
    <t xml:space="preserve">Auto/Cab</t>
  </si>
  <si>
    <t xml:space="preserve">Ola/Uber Monthly</t>
  </si>
  <si>
    <t xml:space="preserve">2025-02-14</t>
  </si>
  <si>
    <t xml:space="preserve">Movies</t>
  </si>
  <si>
    <t xml:space="preserve">Valentines Day Outing</t>
  </si>
  <si>
    <t xml:space="preserve">2025-02-16</t>
  </si>
  <si>
    <t xml:space="preserve">EB Bill February</t>
  </si>
  <si>
    <t xml:space="preserve">2025-02-18</t>
  </si>
  <si>
    <t xml:space="preserve">Restaurant - Weekend</t>
  </si>
  <si>
    <t xml:space="preserve">2025-02-20</t>
  </si>
  <si>
    <t xml:space="preserve">Clothing</t>
  </si>
  <si>
    <t xml:space="preserve">Apparel</t>
  </si>
  <si>
    <t xml:space="preserve">New Clothes Purchase</t>
  </si>
  <si>
    <t xml:space="preserve">2025-02-22</t>
  </si>
  <si>
    <t xml:space="preserve">Doctor</t>
  </si>
  <si>
    <t xml:space="preserve">Consultation Fee</t>
  </si>
  <si>
    <t xml:space="preserve">2025-02-25</t>
  </si>
  <si>
    <t xml:space="preserve">2025-02-27</t>
  </si>
  <si>
    <t xml:space="preserve">2025-03-05</t>
  </si>
  <si>
    <t xml:space="preserve">March</t>
  </si>
  <si>
    <t xml:space="preserve">2025-03-07</t>
  </si>
  <si>
    <t xml:space="preserve">Bonus</t>
  </si>
  <si>
    <t xml:space="preserve">Performance Bonus Q1</t>
  </si>
  <si>
    <t xml:space="preserve">2025-03-10</t>
  </si>
  <si>
    <t xml:space="preserve">House Rent March</t>
  </si>
  <si>
    <t xml:space="preserve">2025-03-12</t>
  </si>
  <si>
    <t xml:space="preserve">Monthly Groceries</t>
  </si>
  <si>
    <t xml:space="preserve">2025-03-14</t>
  </si>
  <si>
    <t xml:space="preserve">Petrol</t>
  </si>
  <si>
    <t xml:space="preserve">2025-03-15</t>
  </si>
  <si>
    <t xml:space="preserve">EB Bill March</t>
  </si>
  <si>
    <t xml:space="preserve">2025-03-17</t>
  </si>
  <si>
    <t xml:space="preserve">Holi Celebration Dinner</t>
  </si>
  <si>
    <t xml:space="preserve">2025-03-19</t>
  </si>
  <si>
    <t xml:space="preserve">Travel</t>
  </si>
  <si>
    <t xml:space="preserve">Weekend Trip - Vizag</t>
  </si>
  <si>
    <t xml:space="preserve">2025-03-21</t>
  </si>
  <si>
    <t xml:space="preserve">Vitamins &amp; Supplements</t>
  </si>
  <si>
    <t xml:space="preserve">2025-03-23</t>
  </si>
  <si>
    <t xml:space="preserve">Course</t>
  </si>
  <si>
    <t xml:space="preserve">Python Udemy Course</t>
  </si>
  <si>
    <t xml:space="preserve">2025-03-25</t>
  </si>
  <si>
    <t xml:space="preserve">MF</t>
  </si>
  <si>
    <t xml:space="preserve">Mutual Fund SIP</t>
  </si>
  <si>
    <t xml:space="preserve">2025-03-27</t>
  </si>
  <si>
    <t xml:space="preserve">2025-03-28</t>
  </si>
  <si>
    <t xml:space="preserve">📊 Monthly Income vs Expense vs Savings Summary</t>
  </si>
  <si>
    <t xml:space="preserve">Total Income (₹)</t>
  </si>
  <si>
    <t xml:space="preserve">Total Expense (₹)</t>
  </si>
  <si>
    <t xml:space="preserve">Total Savings (₹)</t>
  </si>
  <si>
    <t xml:space="preserve">Net Balance (₹)</t>
  </si>
  <si>
    <t xml:space="preserve">Savings Rate %</t>
  </si>
  <si>
    <t xml:space="preserve">Status</t>
  </si>
  <si>
    <t xml:space="preserve">TOTAL / AVERAGE</t>
  </si>
  <si>
    <t xml:space="preserve">🏷️ Expense Breakdown by Category</t>
  </si>
  <si>
    <t xml:space="preserve">Jan (₹)</t>
  </si>
  <si>
    <t xml:space="preserve">Feb (₹)</t>
  </si>
  <si>
    <t xml:space="preserve">Mar (₹)</t>
  </si>
  <si>
    <t xml:space="preserve">Total (₹)</t>
  </si>
  <si>
    <t xml:space="preserve">% of Expense</t>
  </si>
  <si>
    <t xml:space="preserve">Rent &amp; Maintenance</t>
  </si>
  <si>
    <t xml:space="preserve">Groceries &amp; Dining</t>
  </si>
  <si>
    <t xml:space="preserve">Fuel, Auto, Cab</t>
  </si>
  <si>
    <t xml:space="preserve">Electricity, Mobile</t>
  </si>
  <si>
    <t xml:space="preserve">Movies, OTT, Travel</t>
  </si>
  <si>
    <t xml:space="preserve">Doctor &amp; Medicine</t>
  </si>
  <si>
    <t xml:space="preserve">Books &amp; Courses</t>
  </si>
  <si>
    <t xml:space="preserve">Apparel &amp; Accessories</t>
  </si>
  <si>
    <t xml:space="preserve">TOTAL</t>
  </si>
  <si>
    <t xml:space="preserve">All Expense Categories</t>
  </si>
  <si>
    <t xml:space="preserve">💼 Personal Finance Dashboard — Q1 2025</t>
  </si>
  <si>
    <t xml:space="preserve">Auto-calculated from Raw Data  |  Update the Raw Data sheet to refresh all numbers</t>
  </si>
  <si>
    <t xml:space="preserve">Total Income</t>
  </si>
  <si>
    <t xml:space="preserve">Total Expenses</t>
  </si>
  <si>
    <t xml:space="preserve">Total Savings</t>
  </si>
  <si>
    <t xml:space="preserve">Avg Savings Rate</t>
  </si>
  <si>
    <t xml:space="preserve">NET BALANCE (Q1 2025)</t>
  </si>
  <si>
    <t xml:space="preserve">📋 Quick Statistics</t>
  </si>
  <si>
    <t xml:space="preserve">Highest Income Month</t>
  </si>
  <si>
    <t xml:space="preserve">Highest Expense Month</t>
  </si>
  <si>
    <t xml:space="preserve">Best Savings Month</t>
  </si>
  <si>
    <t xml:space="preserve">Avg Monthly Income</t>
  </si>
  <si>
    <t xml:space="preserve">Avg Monthly Expense</t>
  </si>
  <si>
    <t xml:space="preserve">Top Expense Category</t>
  </si>
  <si>
    <t xml:space="preserve">📘 GitHub README — How to Use This Project</t>
  </si>
  <si>
    <t xml:space="preserve">PROJECT NAME:</t>
  </si>
  <si>
    <t xml:space="preserve">Personal Finance Tracker — MS Excel</t>
  </si>
  <si>
    <t xml:space="preserve">AUTHOR:</t>
  </si>
  <si>
    <t xml:space="preserve">Your Name (update this)</t>
  </si>
  <si>
    <t xml:space="preserve">SKILLS DEMONSTRATED:</t>
  </si>
  <si>
    <t xml:space="preserve">MS Excel: Formulas, Pivot, Charts, Conditional Formatting, Cross-Sheet References</t>
  </si>
  <si>
    <t xml:space="preserve">SHEET GUIDE:</t>
  </si>
  <si>
    <t xml:space="preserve">  Raw Data</t>
  </si>
  <si>
    <t xml:space="preserve">→ Enter all your transactions here. One row per transaction.</t>
  </si>
  <si>
    <t xml:space="preserve">  Monthly Summary</t>
  </si>
  <si>
    <t xml:space="preserve">→ Auto-calculates Income, Expense, Savings per month. Has a bar chart.</t>
  </si>
  <si>
    <t xml:space="preserve">  Category Breakdown</t>
  </si>
  <si>
    <t xml:space="preserve">→ Shows where your money goes. Has a pie chart.</t>
  </si>
  <si>
    <t xml:space="preserve">  Dashboard</t>
  </si>
  <si>
    <t xml:space="preserve">→ KPI cards and summary stats. The main view to share.</t>
  </si>
  <si>
    <t xml:space="preserve">HOW TO ADD DATA:</t>
  </si>
  <si>
    <t xml:space="preserve">  Step 1</t>
  </si>
  <si>
    <t xml:space="preserve">Go to the 'Raw Data' sheet</t>
  </si>
  <si>
    <t xml:space="preserve">  Step 2</t>
  </si>
  <si>
    <t xml:space="preserve">Add a new row with: Date, Month, Category, Sub-Category, Description, Type, Amount</t>
  </si>
  <si>
    <t xml:space="preserve">  Step 3</t>
  </si>
  <si>
    <t xml:space="preserve">Type must be exactly: Income / Expense / Savings (case-sensitive)</t>
  </si>
  <si>
    <t xml:space="preserve">  Step 4</t>
  </si>
  <si>
    <t xml:space="preserve">All other sheets update automatically!</t>
  </si>
  <si>
    <t xml:space="preserve">EXCEL FORMULAS USED:</t>
  </si>
  <si>
    <t xml:space="preserve">  SUMIFS</t>
  </si>
  <si>
    <t xml:space="preserve">SUMIFS(range, criteria_range, criteria, ...) — Sums with multiple conditions</t>
  </si>
  <si>
    <t xml:space="preserve">  IFERROR</t>
  </si>
  <si>
    <t xml:space="preserve">IFERROR(formula, value_if_error) — Handles division by zero gracefully</t>
  </si>
  <si>
    <t xml:space="preserve">  INDEX+MATCH</t>
  </si>
  <si>
    <t xml:space="preserve">INDEX(array, MATCH(lookup, range, 0)) — Flexible two-way lookup</t>
  </si>
  <si>
    <t xml:space="preserve">  IF Nested</t>
  </si>
  <si>
    <t xml:space="preserve">IF(condition, value_if_true, IF(...)) — Multi-condition logic branching</t>
  </si>
  <si>
    <t xml:space="preserve">GITHUB UPLOAD GUIDE:</t>
  </si>
  <si>
    <t xml:space="preserve">Create repo: github.com → New Repository → Name: 'personal-finance-tracker-excel'</t>
  </si>
  <si>
    <t xml:space="preserve">Upload this .xlsx file and any screenshots to the repo</t>
  </si>
  <si>
    <t xml:space="preserve">Create a README.md with project description and screenshot</t>
  </si>
  <si>
    <t xml:space="preserve">Add topics: excel, data-analysis, finance, personal-finance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</si>
</sst>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"/>
    <numFmt numFmtId="166" formatCode="0.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2C3E5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00000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sz val="11"/>
      <color rgb="FFAAAAAA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b val="true"/>
      <sz val="12"/>
      <color rgb="FF2C3E5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A5276"/>
      <name val="Arial"/>
      <family val="0"/>
      <charset val="1"/>
    </font>
    <font>
      <sz val="10"/>
      <color rgb="FFFFFF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5276"/>
        <bgColor rgb="FF2C3E50"/>
      </patternFill>
    </fill>
    <fill>
      <patternFill patternType="solid">
        <fgColor rgb="FFD5F5E3"/>
        <bgColor rgb="FFD6EAF8"/>
      </patternFill>
    </fill>
    <fill>
      <patternFill patternType="solid">
        <fgColor rgb="FFF2F3F4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D6EAF8"/>
        <bgColor rgb="FFD5F5E3"/>
      </patternFill>
    </fill>
    <fill>
      <patternFill patternType="solid">
        <fgColor rgb="FF2E86C1"/>
        <bgColor rgb="FF4F81BD"/>
      </patternFill>
    </fill>
    <fill>
      <patternFill patternType="solid">
        <fgColor rgb="FF2C3E50"/>
        <bgColor rgb="FF1A5276"/>
      </patternFill>
    </fill>
    <fill>
      <patternFill patternType="solid">
        <fgColor rgb="FFC0392B"/>
        <bgColor rgb="FFAB4744"/>
      </patternFill>
    </fill>
    <fill>
      <patternFill patternType="solid">
        <fgColor rgb="FFE67E22"/>
        <bgColor rgb="FFDC853E"/>
      </patternFill>
    </fill>
    <fill>
      <patternFill patternType="solid">
        <fgColor rgb="FF27AE60"/>
        <bgColor rgb="FF4299B0"/>
      </patternFill>
    </fill>
    <fill>
      <patternFill patternType="solid">
        <fgColor rgb="FFBDC3C7"/>
        <bgColor rgb="FFD9D9D9"/>
      </patternFill>
    </fill>
    <fill>
      <patternFill patternType="solid">
        <fgColor rgb="FFFDEBD0"/>
        <bgColor rgb="FFF2F3F4"/>
      </patternFill>
    </fill>
    <fill>
      <patternFill patternType="solid">
        <fgColor rgb="FFF9E79F"/>
        <bgColor rgb="FFFDEBD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 diagonalUp="false" diagonalDown="false">
      <left style="thin">
        <color rgb="FFBDC3C7"/>
      </left>
      <right/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2E86C1"/>
      <rgbColor rgb="FFBDC3C7"/>
      <rgbColor rgb="FF878787"/>
      <rgbColor rgb="FF93A9CE"/>
      <rgbColor rgb="FFAB4744"/>
      <rgbColor rgb="FFFDEBD0"/>
      <rgbColor rgb="FFD6EAF8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2F3F4"/>
      <rgbColor rgb="FFD5F5E3"/>
      <rgbColor rgb="FFF9E79F"/>
      <rgbColor rgb="FF99CCFF"/>
      <rgbColor rgb="FFD09493"/>
      <rgbColor rgb="FFAAAAAA"/>
      <rgbColor rgb="FFF9F9F9"/>
      <rgbColor rgb="FF4672A8"/>
      <rgbColor rgb="FF4299B0"/>
      <rgbColor rgb="FF99CC00"/>
      <rgbColor rgb="FFFFCC00"/>
      <rgbColor rgb="FFFF9900"/>
      <rgbColor rgb="FFE67E22"/>
      <rgbColor rgb="FF725990"/>
      <rgbColor rgb="FF888888"/>
      <rgbColor rgb="FF1A5276"/>
      <rgbColor rgb="FF27AE60"/>
      <rgbColor rgb="FF003300"/>
      <rgbColor rgb="FF333300"/>
      <rgbColor rgb="FFC0392B"/>
      <rgbColor rgb="FF8E44AD"/>
      <rgbColor rgb="FF555555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Monthly: Income vs Expense vs Savings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Summary'!B2</c:f>
              <c:strCache>
                <c:ptCount val="1"/>
                <c:pt idx="0">
                  <c:v>Total Income (₹)</c:v>
                </c:pt>
              </c:strCache>
            </c:strRef>
          </c:tx>
          <c:spPr>
            <a:solidFill>
              <a:srgbClr val="27ae6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Summary'!$A$3:$A$5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'Monthly Summary'!$B$3:$B$5</c:f>
              <c:numCache>
                <c:formatCode>\₹#,##0</c:formatCode>
                <c:ptCount val="3"/>
                <c:pt idx="0">
                  <c:v>77000</c:v>
                </c:pt>
                <c:pt idx="1">
                  <c:v>70000</c:v>
                </c:pt>
                <c:pt idx="2">
                  <c:v>85000</c:v>
                </c:pt>
              </c:numCache>
            </c:numRef>
          </c:val>
        </c:ser>
        <c:ser>
          <c:idx val="1"/>
          <c:order val="1"/>
          <c:tx>
            <c:strRef>
              <c:f>'Monthly Summary'!C2</c:f>
              <c:strCache>
                <c:ptCount val="1"/>
                <c:pt idx="0">
                  <c:v>Total Expense (₹)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Summary'!$A$3:$A$5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'Monthly Summary'!$C$3:$C$5</c:f>
              <c:numCache>
                <c:formatCode>\₹#,##0</c:formatCode>
                <c:ptCount val="3"/>
                <c:pt idx="0">
                  <c:v>28057</c:v>
                </c:pt>
                <c:pt idx="1">
                  <c:v>29369</c:v>
                </c:pt>
                <c:pt idx="2">
                  <c:v>31478</c:v>
                </c:pt>
              </c:numCache>
            </c:numRef>
          </c:val>
        </c:ser>
        <c:ser>
          <c:idx val="2"/>
          <c:order val="2"/>
          <c:tx>
            <c:strRef>
              <c:f>'Monthly Summary'!D2</c:f>
              <c:strCache>
                <c:ptCount val="1"/>
                <c:pt idx="0">
                  <c:v>Total Savings (₹)</c:v>
                </c:pt>
              </c:strCache>
            </c:strRef>
          </c:tx>
          <c:spPr>
            <a:solidFill>
              <a:srgbClr val="2e86c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Summary'!$A$3:$A$5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'Monthly Summary'!$D$3:$D$5</c:f>
              <c:numCache>
                <c:formatCode>\₹#,##0</c:formatCode>
                <c:ptCount val="3"/>
                <c:pt idx="0">
                  <c:v>10000</c:v>
                </c:pt>
                <c:pt idx="1">
                  <c:v>10000</c:v>
                </c:pt>
                <c:pt idx="2">
                  <c:v>15000</c:v>
                </c:pt>
              </c:numCache>
            </c:numRef>
          </c:val>
        </c:ser>
        <c:gapWidth val="150"/>
        <c:overlap val="0"/>
        <c:axId val="79985725"/>
        <c:axId val="89587397"/>
      </c:barChart>
      <c:catAx>
        <c:axId val="799857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587397"/>
        <c:crosses val="autoZero"/>
        <c:auto val="1"/>
        <c:lblAlgn val="ctr"/>
        <c:lblOffset val="100"/>
        <c:noMultiLvlLbl val="0"/>
      </c:catAx>
      <c:valAx>
        <c:axId val="895873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9857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Expense Distribution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'Category Breakdown'!F2</c:f>
              <c:strCache>
                <c:ptCount val="1"/>
                <c:pt idx="0">
                  <c:v>Total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'Category Breakdown'!$A$3:$A$10</c:f>
              <c:strCache>
                <c:ptCount val="8"/>
                <c:pt idx="0">
                  <c:v>Housing</c:v>
                </c:pt>
                <c:pt idx="1">
                  <c:v>Food</c:v>
                </c:pt>
                <c:pt idx="2">
                  <c:v>Transport</c:v>
                </c:pt>
                <c:pt idx="3">
                  <c:v>Utilities</c:v>
                </c:pt>
                <c:pt idx="4">
                  <c:v>Entertainment</c:v>
                </c:pt>
                <c:pt idx="5">
                  <c:v>Healthcare</c:v>
                </c:pt>
                <c:pt idx="6">
                  <c:v>Education</c:v>
                </c:pt>
                <c:pt idx="7">
                  <c:v>Clothing</c:v>
                </c:pt>
              </c:strCache>
            </c:strRef>
          </c:cat>
          <c:val>
            <c:numRef>
              <c:f>'Category Breakdown'!$F$3:$F$10</c:f>
              <c:numCache>
                <c:formatCode>\₹#,##0</c:formatCode>
                <c:ptCount val="8"/>
                <c:pt idx="0">
                  <c:v>45000</c:v>
                </c:pt>
                <c:pt idx="1">
                  <c:v>20650</c:v>
                </c:pt>
                <c:pt idx="2">
                  <c:v>4400</c:v>
                </c:pt>
                <c:pt idx="3">
                  <c:v>3447</c:v>
                </c:pt>
                <c:pt idx="4">
                  <c:v>7349</c:v>
                </c:pt>
                <c:pt idx="5">
                  <c:v>1860</c:v>
                </c:pt>
                <c:pt idx="6">
                  <c:v>2698</c:v>
                </c:pt>
                <c:pt idx="7">
                  <c:v>3500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7</xdr:col>
      <xdr:colOff>24840</xdr:colOff>
      <xdr:row>33</xdr:row>
      <xdr:rowOff>86040</xdr:rowOff>
    </xdr:to>
    <xdr:graphicFrame>
      <xdr:nvGraphicFramePr>
        <xdr:cNvPr id="0" name="Chart 1"/>
        <xdr:cNvGraphicFramePr/>
      </xdr:nvGraphicFramePr>
      <xdr:xfrm>
        <a:off x="0" y="1628640"/>
        <a:ext cx="791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0</xdr:rowOff>
    </xdr:from>
    <xdr:to>
      <xdr:col>5</xdr:col>
      <xdr:colOff>981360</xdr:colOff>
      <xdr:row>38</xdr:row>
      <xdr:rowOff>86040</xdr:rowOff>
    </xdr:to>
    <xdr:graphicFrame>
      <xdr:nvGraphicFramePr>
        <xdr:cNvPr id="1" name="Chart 1"/>
        <xdr:cNvGraphicFramePr/>
      </xdr:nvGraphicFramePr>
      <xdr:xfrm>
        <a:off x="0" y="2581200"/>
        <a:ext cx="647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5276"/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32"/>
    <col collapsed="false" customWidth="true" hidden="false" outlineLevel="0" max="6" min="6" style="1" width="12"/>
    <col collapsed="false" customWidth="true" hidden="false" outlineLevel="0" max="7" min="7" style="1" width="14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customFormat="false" ht="15" hidden="false" customHeight="true" outlineLevel="0" collapsed="false">
      <c r="A3" s="4" t="s">
        <v>8</v>
      </c>
      <c r="B3" s="4" t="s">
        <v>9</v>
      </c>
      <c r="C3" s="4" t="s">
        <v>10</v>
      </c>
      <c r="D3" s="4" t="s">
        <v>11</v>
      </c>
      <c r="E3" s="5" t="s">
        <v>12</v>
      </c>
      <c r="F3" s="4" t="s">
        <v>10</v>
      </c>
      <c r="G3" s="6" t="n">
        <v>65000</v>
      </c>
    </row>
    <row r="4" customFormat="false" ht="15" hidden="false" customHeight="true" outlineLevel="0" collapsed="false">
      <c r="A4" s="4" t="s">
        <v>13</v>
      </c>
      <c r="B4" s="4" t="s">
        <v>9</v>
      </c>
      <c r="C4" s="4" t="s">
        <v>10</v>
      </c>
      <c r="D4" s="4" t="s">
        <v>14</v>
      </c>
      <c r="E4" s="5" t="s">
        <v>15</v>
      </c>
      <c r="F4" s="4" t="s">
        <v>10</v>
      </c>
      <c r="G4" s="6" t="n">
        <v>12000</v>
      </c>
    </row>
    <row r="5" customFormat="false" ht="15" hidden="false" customHeight="true" outlineLevel="0" collapsed="false">
      <c r="A5" s="7" t="s">
        <v>16</v>
      </c>
      <c r="B5" s="7" t="s">
        <v>9</v>
      </c>
      <c r="C5" s="7" t="s">
        <v>17</v>
      </c>
      <c r="D5" s="7" t="s">
        <v>18</v>
      </c>
      <c r="E5" s="8" t="s">
        <v>19</v>
      </c>
      <c r="F5" s="7" t="s">
        <v>20</v>
      </c>
      <c r="G5" s="9" t="n">
        <v>15000</v>
      </c>
    </row>
    <row r="6" customFormat="false" ht="15" hidden="false" customHeight="true" outlineLevel="0" collapsed="false">
      <c r="A6" s="10" t="s">
        <v>21</v>
      </c>
      <c r="B6" s="10" t="s">
        <v>9</v>
      </c>
      <c r="C6" s="10" t="s">
        <v>22</v>
      </c>
      <c r="D6" s="10" t="s">
        <v>23</v>
      </c>
      <c r="E6" s="11" t="s">
        <v>24</v>
      </c>
      <c r="F6" s="10" t="s">
        <v>20</v>
      </c>
      <c r="G6" s="12" t="n">
        <v>4500</v>
      </c>
    </row>
    <row r="7" customFormat="false" ht="15" hidden="false" customHeight="true" outlineLevel="0" collapsed="false">
      <c r="A7" s="7" t="s">
        <v>25</v>
      </c>
      <c r="B7" s="7" t="s">
        <v>9</v>
      </c>
      <c r="C7" s="7" t="s">
        <v>26</v>
      </c>
      <c r="D7" s="7" t="s">
        <v>27</v>
      </c>
      <c r="E7" s="8" t="s">
        <v>28</v>
      </c>
      <c r="F7" s="7" t="s">
        <v>20</v>
      </c>
      <c r="G7" s="9" t="n">
        <v>1200</v>
      </c>
    </row>
    <row r="8" customFormat="false" ht="15" hidden="false" customHeight="true" outlineLevel="0" collapsed="false">
      <c r="A8" s="10" t="s">
        <v>29</v>
      </c>
      <c r="B8" s="10" t="s">
        <v>9</v>
      </c>
      <c r="C8" s="10" t="s">
        <v>30</v>
      </c>
      <c r="D8" s="10" t="s">
        <v>31</v>
      </c>
      <c r="E8" s="11" t="s">
        <v>32</v>
      </c>
      <c r="F8" s="10" t="s">
        <v>20</v>
      </c>
      <c r="G8" s="12" t="n">
        <v>850</v>
      </c>
    </row>
    <row r="9" customFormat="false" ht="15" hidden="false" customHeight="true" outlineLevel="0" collapsed="false">
      <c r="A9" s="7" t="s">
        <v>33</v>
      </c>
      <c r="B9" s="7" t="s">
        <v>9</v>
      </c>
      <c r="C9" s="7" t="s">
        <v>22</v>
      </c>
      <c r="D9" s="7" t="s">
        <v>34</v>
      </c>
      <c r="E9" s="8" t="s">
        <v>35</v>
      </c>
      <c r="F9" s="7" t="s">
        <v>20</v>
      </c>
      <c r="G9" s="9" t="n">
        <v>1800</v>
      </c>
    </row>
    <row r="10" customFormat="false" ht="15" hidden="false" customHeight="true" outlineLevel="0" collapsed="false">
      <c r="A10" s="10" t="s">
        <v>36</v>
      </c>
      <c r="B10" s="10" t="s">
        <v>9</v>
      </c>
      <c r="C10" s="10" t="s">
        <v>37</v>
      </c>
      <c r="D10" s="10" t="s">
        <v>38</v>
      </c>
      <c r="E10" s="11" t="s">
        <v>39</v>
      </c>
      <c r="F10" s="10" t="s">
        <v>20</v>
      </c>
      <c r="G10" s="12" t="n">
        <v>649</v>
      </c>
    </row>
    <row r="11" customFormat="false" ht="15" hidden="false" customHeight="true" outlineLevel="0" collapsed="false">
      <c r="A11" s="7" t="s">
        <v>40</v>
      </c>
      <c r="B11" s="7" t="s">
        <v>9</v>
      </c>
      <c r="C11" s="7" t="s">
        <v>41</v>
      </c>
      <c r="D11" s="7" t="s">
        <v>42</v>
      </c>
      <c r="E11" s="8" t="s">
        <v>43</v>
      </c>
      <c r="F11" s="7" t="s">
        <v>20</v>
      </c>
      <c r="G11" s="9" t="n">
        <v>560</v>
      </c>
    </row>
    <row r="12" customFormat="false" ht="15" hidden="false" customHeight="true" outlineLevel="0" collapsed="false">
      <c r="A12" s="10" t="s">
        <v>44</v>
      </c>
      <c r="B12" s="10" t="s">
        <v>9</v>
      </c>
      <c r="C12" s="10" t="s">
        <v>45</v>
      </c>
      <c r="D12" s="10" t="s">
        <v>46</v>
      </c>
      <c r="E12" s="11" t="s">
        <v>47</v>
      </c>
      <c r="F12" s="10" t="s">
        <v>20</v>
      </c>
      <c r="G12" s="12" t="n">
        <v>1999</v>
      </c>
    </row>
    <row r="13" customFormat="false" ht="15" hidden="false" customHeight="true" outlineLevel="0" collapsed="false">
      <c r="A13" s="13" t="s">
        <v>48</v>
      </c>
      <c r="B13" s="13" t="s">
        <v>9</v>
      </c>
      <c r="C13" s="13" t="s">
        <v>49</v>
      </c>
      <c r="D13" s="13" t="s">
        <v>50</v>
      </c>
      <c r="E13" s="14" t="s">
        <v>51</v>
      </c>
      <c r="F13" s="13" t="s">
        <v>49</v>
      </c>
      <c r="G13" s="15" t="n">
        <v>10000</v>
      </c>
    </row>
    <row r="14" customFormat="false" ht="15" hidden="false" customHeight="true" outlineLevel="0" collapsed="false">
      <c r="A14" s="10" t="s">
        <v>52</v>
      </c>
      <c r="B14" s="10" t="s">
        <v>9</v>
      </c>
      <c r="C14" s="10" t="s">
        <v>30</v>
      </c>
      <c r="D14" s="10" t="s">
        <v>53</v>
      </c>
      <c r="E14" s="11" t="s">
        <v>54</v>
      </c>
      <c r="F14" s="10" t="s">
        <v>20</v>
      </c>
      <c r="G14" s="12" t="n">
        <v>299</v>
      </c>
    </row>
    <row r="15" customFormat="false" ht="15" hidden="false" customHeight="true" outlineLevel="0" collapsed="false">
      <c r="A15" s="7" t="s">
        <v>55</v>
      </c>
      <c r="B15" s="7" t="s">
        <v>9</v>
      </c>
      <c r="C15" s="7" t="s">
        <v>22</v>
      </c>
      <c r="D15" s="7" t="s">
        <v>23</v>
      </c>
      <c r="E15" s="8" t="s">
        <v>56</v>
      </c>
      <c r="F15" s="7" t="s">
        <v>20</v>
      </c>
      <c r="G15" s="9" t="n">
        <v>1200</v>
      </c>
    </row>
    <row r="16" customFormat="false" ht="15" hidden="false" customHeight="true" outlineLevel="0" collapsed="false">
      <c r="A16" s="4" t="s">
        <v>57</v>
      </c>
      <c r="B16" s="4" t="s">
        <v>58</v>
      </c>
      <c r="C16" s="4" t="s">
        <v>10</v>
      </c>
      <c r="D16" s="4" t="s">
        <v>11</v>
      </c>
      <c r="E16" s="5" t="s">
        <v>12</v>
      </c>
      <c r="F16" s="4" t="s">
        <v>10</v>
      </c>
      <c r="G16" s="6" t="n">
        <v>65000</v>
      </c>
    </row>
    <row r="17" customFormat="false" ht="15" hidden="false" customHeight="true" outlineLevel="0" collapsed="false">
      <c r="A17" s="4" t="s">
        <v>59</v>
      </c>
      <c r="B17" s="4" t="s">
        <v>58</v>
      </c>
      <c r="C17" s="4" t="s">
        <v>10</v>
      </c>
      <c r="D17" s="4" t="s">
        <v>14</v>
      </c>
      <c r="E17" s="5" t="s">
        <v>60</v>
      </c>
      <c r="F17" s="4" t="s">
        <v>10</v>
      </c>
      <c r="G17" s="6" t="n">
        <v>5000</v>
      </c>
    </row>
    <row r="18" customFormat="false" ht="15" hidden="false" customHeight="true" outlineLevel="0" collapsed="false">
      <c r="A18" s="10" t="s">
        <v>61</v>
      </c>
      <c r="B18" s="10" t="s">
        <v>58</v>
      </c>
      <c r="C18" s="10" t="s">
        <v>17</v>
      </c>
      <c r="D18" s="10" t="s">
        <v>18</v>
      </c>
      <c r="E18" s="11" t="s">
        <v>62</v>
      </c>
      <c r="F18" s="10" t="s">
        <v>20</v>
      </c>
      <c r="G18" s="12" t="n">
        <v>15000</v>
      </c>
    </row>
    <row r="19" customFormat="false" ht="15" hidden="false" customHeight="true" outlineLevel="0" collapsed="false">
      <c r="A19" s="7" t="s">
        <v>63</v>
      </c>
      <c r="B19" s="7" t="s">
        <v>58</v>
      </c>
      <c r="C19" s="7" t="s">
        <v>22</v>
      </c>
      <c r="D19" s="7" t="s">
        <v>23</v>
      </c>
      <c r="E19" s="8" t="s">
        <v>64</v>
      </c>
      <c r="F19" s="7" t="s">
        <v>20</v>
      </c>
      <c r="G19" s="9" t="n">
        <v>5200</v>
      </c>
    </row>
    <row r="20" customFormat="false" ht="15" hidden="false" customHeight="true" outlineLevel="0" collapsed="false">
      <c r="A20" s="10" t="s">
        <v>65</v>
      </c>
      <c r="B20" s="10" t="s">
        <v>58</v>
      </c>
      <c r="C20" s="10" t="s">
        <v>26</v>
      </c>
      <c r="D20" s="10" t="s">
        <v>66</v>
      </c>
      <c r="E20" s="11" t="s">
        <v>67</v>
      </c>
      <c r="F20" s="10" t="s">
        <v>20</v>
      </c>
      <c r="G20" s="12" t="n">
        <v>1800</v>
      </c>
    </row>
    <row r="21" customFormat="false" ht="15" hidden="false" customHeight="true" outlineLevel="0" collapsed="false">
      <c r="A21" s="7" t="s">
        <v>68</v>
      </c>
      <c r="B21" s="7" t="s">
        <v>58</v>
      </c>
      <c r="C21" s="7" t="s">
        <v>37</v>
      </c>
      <c r="D21" s="7" t="s">
        <v>69</v>
      </c>
      <c r="E21" s="8" t="s">
        <v>70</v>
      </c>
      <c r="F21" s="7" t="s">
        <v>20</v>
      </c>
      <c r="G21" s="9" t="n">
        <v>1200</v>
      </c>
    </row>
    <row r="22" customFormat="false" ht="15" hidden="false" customHeight="true" outlineLevel="0" collapsed="false">
      <c r="A22" s="10" t="s">
        <v>71</v>
      </c>
      <c r="B22" s="10" t="s">
        <v>58</v>
      </c>
      <c r="C22" s="10" t="s">
        <v>30</v>
      </c>
      <c r="D22" s="10" t="s">
        <v>31</v>
      </c>
      <c r="E22" s="11" t="s">
        <v>72</v>
      </c>
      <c r="F22" s="10" t="s">
        <v>20</v>
      </c>
      <c r="G22" s="12" t="n">
        <v>920</v>
      </c>
    </row>
    <row r="23" customFormat="false" ht="15" hidden="false" customHeight="true" outlineLevel="0" collapsed="false">
      <c r="A23" s="7" t="s">
        <v>73</v>
      </c>
      <c r="B23" s="7" t="s">
        <v>58</v>
      </c>
      <c r="C23" s="7" t="s">
        <v>22</v>
      </c>
      <c r="D23" s="7" t="s">
        <v>34</v>
      </c>
      <c r="E23" s="8" t="s">
        <v>74</v>
      </c>
      <c r="F23" s="7" t="s">
        <v>20</v>
      </c>
      <c r="G23" s="9" t="n">
        <v>950</v>
      </c>
    </row>
    <row r="24" customFormat="false" ht="15" hidden="false" customHeight="true" outlineLevel="0" collapsed="false">
      <c r="A24" s="10" t="s">
        <v>75</v>
      </c>
      <c r="B24" s="10" t="s">
        <v>58</v>
      </c>
      <c r="C24" s="10" t="s">
        <v>76</v>
      </c>
      <c r="D24" s="10" t="s">
        <v>77</v>
      </c>
      <c r="E24" s="11" t="s">
        <v>78</v>
      </c>
      <c r="F24" s="10" t="s">
        <v>20</v>
      </c>
      <c r="G24" s="12" t="n">
        <v>3500</v>
      </c>
    </row>
    <row r="25" customFormat="false" ht="15" hidden="false" customHeight="true" outlineLevel="0" collapsed="false">
      <c r="A25" s="7" t="s">
        <v>79</v>
      </c>
      <c r="B25" s="7" t="s">
        <v>58</v>
      </c>
      <c r="C25" s="7" t="s">
        <v>41</v>
      </c>
      <c r="D25" s="7" t="s">
        <v>80</v>
      </c>
      <c r="E25" s="8" t="s">
        <v>81</v>
      </c>
      <c r="F25" s="7" t="s">
        <v>20</v>
      </c>
      <c r="G25" s="9" t="n">
        <v>500</v>
      </c>
    </row>
    <row r="26" customFormat="false" ht="15" hidden="false" customHeight="true" outlineLevel="0" collapsed="false">
      <c r="A26" s="13" t="s">
        <v>82</v>
      </c>
      <c r="B26" s="13" t="s">
        <v>58</v>
      </c>
      <c r="C26" s="13" t="s">
        <v>49</v>
      </c>
      <c r="D26" s="13" t="s">
        <v>50</v>
      </c>
      <c r="E26" s="14" t="s">
        <v>51</v>
      </c>
      <c r="F26" s="13" t="s">
        <v>49</v>
      </c>
      <c r="G26" s="15" t="n">
        <v>10000</v>
      </c>
    </row>
    <row r="27" customFormat="false" ht="15" hidden="false" customHeight="true" outlineLevel="0" collapsed="false">
      <c r="A27" s="7" t="s">
        <v>83</v>
      </c>
      <c r="B27" s="7" t="s">
        <v>58</v>
      </c>
      <c r="C27" s="7" t="s">
        <v>30</v>
      </c>
      <c r="D27" s="7" t="s">
        <v>53</v>
      </c>
      <c r="E27" s="8" t="s">
        <v>54</v>
      </c>
      <c r="F27" s="7" t="s">
        <v>20</v>
      </c>
      <c r="G27" s="9" t="n">
        <v>299</v>
      </c>
    </row>
    <row r="28" customFormat="false" ht="15" hidden="false" customHeight="true" outlineLevel="0" collapsed="false">
      <c r="A28" s="4" t="s">
        <v>84</v>
      </c>
      <c r="B28" s="4" t="s">
        <v>85</v>
      </c>
      <c r="C28" s="4" t="s">
        <v>10</v>
      </c>
      <c r="D28" s="4" t="s">
        <v>11</v>
      </c>
      <c r="E28" s="5" t="s">
        <v>12</v>
      </c>
      <c r="F28" s="4" t="s">
        <v>10</v>
      </c>
      <c r="G28" s="6" t="n">
        <v>65000</v>
      </c>
    </row>
    <row r="29" customFormat="false" ht="15" hidden="false" customHeight="true" outlineLevel="0" collapsed="false">
      <c r="A29" s="4" t="s">
        <v>86</v>
      </c>
      <c r="B29" s="4" t="s">
        <v>85</v>
      </c>
      <c r="C29" s="4" t="s">
        <v>10</v>
      </c>
      <c r="D29" s="4" t="s">
        <v>87</v>
      </c>
      <c r="E29" s="5" t="s">
        <v>88</v>
      </c>
      <c r="F29" s="4" t="s">
        <v>10</v>
      </c>
      <c r="G29" s="6" t="n">
        <v>20000</v>
      </c>
    </row>
    <row r="30" customFormat="false" ht="15" hidden="false" customHeight="true" outlineLevel="0" collapsed="false">
      <c r="A30" s="10" t="s">
        <v>89</v>
      </c>
      <c r="B30" s="10" t="s">
        <v>85</v>
      </c>
      <c r="C30" s="10" t="s">
        <v>17</v>
      </c>
      <c r="D30" s="10" t="s">
        <v>18</v>
      </c>
      <c r="E30" s="11" t="s">
        <v>90</v>
      </c>
      <c r="F30" s="10" t="s">
        <v>20</v>
      </c>
      <c r="G30" s="12" t="n">
        <v>15000</v>
      </c>
    </row>
    <row r="31" customFormat="false" ht="15" hidden="false" customHeight="true" outlineLevel="0" collapsed="false">
      <c r="A31" s="7" t="s">
        <v>91</v>
      </c>
      <c r="B31" s="7" t="s">
        <v>85</v>
      </c>
      <c r="C31" s="7" t="s">
        <v>22</v>
      </c>
      <c r="D31" s="7" t="s">
        <v>23</v>
      </c>
      <c r="E31" s="8" t="s">
        <v>92</v>
      </c>
      <c r="F31" s="7" t="s">
        <v>20</v>
      </c>
      <c r="G31" s="9" t="n">
        <v>4800</v>
      </c>
    </row>
    <row r="32" customFormat="false" ht="15" hidden="false" customHeight="true" outlineLevel="0" collapsed="false">
      <c r="A32" s="10" t="s">
        <v>93</v>
      </c>
      <c r="B32" s="10" t="s">
        <v>85</v>
      </c>
      <c r="C32" s="10" t="s">
        <v>26</v>
      </c>
      <c r="D32" s="10" t="s">
        <v>27</v>
      </c>
      <c r="E32" s="11" t="s">
        <v>94</v>
      </c>
      <c r="F32" s="10" t="s">
        <v>20</v>
      </c>
      <c r="G32" s="12" t="n">
        <v>1400</v>
      </c>
    </row>
    <row r="33" customFormat="false" ht="15" hidden="false" customHeight="true" outlineLevel="0" collapsed="false">
      <c r="A33" s="7" t="s">
        <v>95</v>
      </c>
      <c r="B33" s="7" t="s">
        <v>85</v>
      </c>
      <c r="C33" s="7" t="s">
        <v>30</v>
      </c>
      <c r="D33" s="7" t="s">
        <v>31</v>
      </c>
      <c r="E33" s="8" t="s">
        <v>96</v>
      </c>
      <c r="F33" s="7" t="s">
        <v>20</v>
      </c>
      <c r="G33" s="9" t="n">
        <v>780</v>
      </c>
    </row>
    <row r="34" customFormat="false" ht="15" hidden="false" customHeight="true" outlineLevel="0" collapsed="false">
      <c r="A34" s="10" t="s">
        <v>97</v>
      </c>
      <c r="B34" s="10" t="s">
        <v>85</v>
      </c>
      <c r="C34" s="10" t="s">
        <v>22</v>
      </c>
      <c r="D34" s="10" t="s">
        <v>34</v>
      </c>
      <c r="E34" s="11" t="s">
        <v>98</v>
      </c>
      <c r="F34" s="10" t="s">
        <v>20</v>
      </c>
      <c r="G34" s="12" t="n">
        <v>2200</v>
      </c>
    </row>
    <row r="35" customFormat="false" ht="15" hidden="false" customHeight="true" outlineLevel="0" collapsed="false">
      <c r="A35" s="7" t="s">
        <v>99</v>
      </c>
      <c r="B35" s="7" t="s">
        <v>85</v>
      </c>
      <c r="C35" s="7" t="s">
        <v>37</v>
      </c>
      <c r="D35" s="7" t="s">
        <v>100</v>
      </c>
      <c r="E35" s="8" t="s">
        <v>101</v>
      </c>
      <c r="F35" s="7" t="s">
        <v>20</v>
      </c>
      <c r="G35" s="9" t="n">
        <v>5500</v>
      </c>
    </row>
    <row r="36" customFormat="false" ht="15" hidden="false" customHeight="true" outlineLevel="0" collapsed="false">
      <c r="A36" s="10" t="s">
        <v>102</v>
      </c>
      <c r="B36" s="10" t="s">
        <v>85</v>
      </c>
      <c r="C36" s="10" t="s">
        <v>41</v>
      </c>
      <c r="D36" s="10" t="s">
        <v>42</v>
      </c>
      <c r="E36" s="11" t="s">
        <v>103</v>
      </c>
      <c r="F36" s="10" t="s">
        <v>20</v>
      </c>
      <c r="G36" s="12" t="n">
        <v>800</v>
      </c>
    </row>
    <row r="37" customFormat="false" ht="15" hidden="false" customHeight="true" outlineLevel="0" collapsed="false">
      <c r="A37" s="7" t="s">
        <v>104</v>
      </c>
      <c r="B37" s="7" t="s">
        <v>85</v>
      </c>
      <c r="C37" s="7" t="s">
        <v>45</v>
      </c>
      <c r="D37" s="7" t="s">
        <v>105</v>
      </c>
      <c r="E37" s="8" t="s">
        <v>106</v>
      </c>
      <c r="F37" s="7" t="s">
        <v>20</v>
      </c>
      <c r="G37" s="9" t="n">
        <v>699</v>
      </c>
    </row>
    <row r="38" customFormat="false" ht="15" hidden="false" customHeight="true" outlineLevel="0" collapsed="false">
      <c r="A38" s="13" t="s">
        <v>107</v>
      </c>
      <c r="B38" s="13" t="s">
        <v>85</v>
      </c>
      <c r="C38" s="13" t="s">
        <v>49</v>
      </c>
      <c r="D38" s="13" t="s">
        <v>108</v>
      </c>
      <c r="E38" s="14" t="s">
        <v>109</v>
      </c>
      <c r="F38" s="13" t="s">
        <v>49</v>
      </c>
      <c r="G38" s="15" t="n">
        <v>5000</v>
      </c>
    </row>
    <row r="39" customFormat="false" ht="15" hidden="false" customHeight="true" outlineLevel="0" collapsed="false">
      <c r="A39" s="13" t="s">
        <v>110</v>
      </c>
      <c r="B39" s="13" t="s">
        <v>85</v>
      </c>
      <c r="C39" s="13" t="s">
        <v>49</v>
      </c>
      <c r="D39" s="13" t="s">
        <v>50</v>
      </c>
      <c r="E39" s="14" t="s">
        <v>51</v>
      </c>
      <c r="F39" s="13" t="s">
        <v>49</v>
      </c>
      <c r="G39" s="15" t="n">
        <v>10000</v>
      </c>
    </row>
    <row r="40" customFormat="false" ht="18" hidden="false" customHeight="true" outlineLevel="0" collapsed="false">
      <c r="A40" s="10" t="s">
        <v>111</v>
      </c>
      <c r="B40" s="10" t="s">
        <v>85</v>
      </c>
      <c r="C40" s="10" t="s">
        <v>30</v>
      </c>
      <c r="D40" s="10" t="s">
        <v>53</v>
      </c>
      <c r="E40" s="11" t="s">
        <v>54</v>
      </c>
      <c r="F40" s="10" t="s">
        <v>20</v>
      </c>
      <c r="G40" s="12" t="n">
        <v>299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4" min="2" style="1" width="18"/>
    <col collapsed="false" customWidth="true" hidden="false" outlineLevel="0" max="5" min="5" style="1" width="16"/>
    <col collapsed="false" customWidth="true" hidden="false" outlineLevel="0" max="7" min="6" style="1" width="14"/>
  </cols>
  <sheetData>
    <row r="1" customFormat="false" ht="31.5" hidden="false" customHeight="true" outlineLevel="0" collapsed="false">
      <c r="A1" s="2" t="s">
        <v>112</v>
      </c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3" t="s">
        <v>2</v>
      </c>
      <c r="B2" s="3" t="s">
        <v>113</v>
      </c>
      <c r="C2" s="3" t="s">
        <v>114</v>
      </c>
      <c r="D2" s="3" t="s">
        <v>115</v>
      </c>
      <c r="E2" s="3" t="s">
        <v>116</v>
      </c>
      <c r="F2" s="3" t="s">
        <v>117</v>
      </c>
      <c r="G2" s="3" t="s">
        <v>118</v>
      </c>
    </row>
    <row r="3" customFormat="false" ht="15" hidden="false" customHeight="true" outlineLevel="0" collapsed="false">
      <c r="A3" s="3" t="s">
        <v>9</v>
      </c>
      <c r="B3" s="16" t="n">
        <f aca="false">SUMIFS('Raw Data'!G:G,'Raw Data'!B:B,A3,'Raw Data'!F:F,"Income")</f>
        <v>77000</v>
      </c>
      <c r="C3" s="16" t="n">
        <f aca="false">SUMIFS('Raw Data'!G:G,'Raw Data'!B:B,A3,'Raw Data'!F:F,"Expense")</f>
        <v>28057</v>
      </c>
      <c r="D3" s="16" t="n">
        <f aca="false">SUMIFS('Raw Data'!G:G,'Raw Data'!B:B,A3,'Raw Data'!F:F,"Savings")</f>
        <v>10000</v>
      </c>
      <c r="E3" s="16" t="n">
        <f aca="false">B3-C3-D3</f>
        <v>38943</v>
      </c>
      <c r="F3" s="17" t="n">
        <f aca="false">IFERROR(D3/B3,0)</f>
        <v>0.12987012987013</v>
      </c>
      <c r="G3" s="18" t="str">
        <f aca="false">IF(E3&gt;0,"✅ Surplus",IF(E3=0,"⚖️ Break Even","❌ Deficit"))</f>
        <v>✅ Surplus</v>
      </c>
    </row>
    <row r="4" customFormat="false" ht="15" hidden="false" customHeight="true" outlineLevel="0" collapsed="false">
      <c r="A4" s="3" t="s">
        <v>58</v>
      </c>
      <c r="B4" s="19" t="n">
        <f aca="false">SUMIFS('Raw Data'!G:G,'Raw Data'!B:B,A4,'Raw Data'!F:F,"Income")</f>
        <v>70000</v>
      </c>
      <c r="C4" s="19" t="n">
        <f aca="false">SUMIFS('Raw Data'!G:G,'Raw Data'!B:B,A4,'Raw Data'!F:F,"Expense")</f>
        <v>29369</v>
      </c>
      <c r="D4" s="19" t="n">
        <f aca="false">SUMIFS('Raw Data'!G:G,'Raw Data'!B:B,A4,'Raw Data'!F:F,"Savings")</f>
        <v>10000</v>
      </c>
      <c r="E4" s="19" t="n">
        <f aca="false">B4-C4-D4</f>
        <v>30631</v>
      </c>
      <c r="F4" s="20" t="n">
        <f aca="false">IFERROR(D4/B4,0)</f>
        <v>0.142857142857143</v>
      </c>
      <c r="G4" s="21" t="str">
        <f aca="false">IF(E4&gt;0,"✅ Surplus",IF(E4=0,"⚖️ Break Even","❌ Deficit"))</f>
        <v>✅ Surplus</v>
      </c>
    </row>
    <row r="5" customFormat="false" ht="15" hidden="false" customHeight="true" outlineLevel="0" collapsed="false">
      <c r="A5" s="3" t="s">
        <v>85</v>
      </c>
      <c r="B5" s="16" t="n">
        <f aca="false">SUMIFS('Raw Data'!G:G,'Raw Data'!B:B,A5,'Raw Data'!F:F,"Income")</f>
        <v>85000</v>
      </c>
      <c r="C5" s="16" t="n">
        <f aca="false">SUMIFS('Raw Data'!G:G,'Raw Data'!B:B,A5,'Raw Data'!F:F,"Expense")</f>
        <v>31478</v>
      </c>
      <c r="D5" s="16" t="n">
        <f aca="false">SUMIFS('Raw Data'!G:G,'Raw Data'!B:B,A5,'Raw Data'!F:F,"Savings")</f>
        <v>15000</v>
      </c>
      <c r="E5" s="16" t="n">
        <f aca="false">B5-C5-D5</f>
        <v>38522</v>
      </c>
      <c r="F5" s="17" t="n">
        <f aca="false">IFERROR(D5/B5,0)</f>
        <v>0.176470588235294</v>
      </c>
      <c r="G5" s="18" t="str">
        <f aca="false">IF(E5&gt;0,"✅ Surplus",IF(E5=0,"⚖️ Break Even","❌ Deficit"))</f>
        <v>✅ Surplus</v>
      </c>
    </row>
    <row r="6" customFormat="false" ht="15" hidden="false" customHeight="true" outlineLevel="0" collapsed="false">
      <c r="A6" s="22" t="s">
        <v>119</v>
      </c>
      <c r="B6" s="23" t="n">
        <f aca="false">SUM(B3:B5)</f>
        <v>232000</v>
      </c>
      <c r="C6" s="23" t="n">
        <f aca="false">SUM(C3:C5)</f>
        <v>88904</v>
      </c>
      <c r="D6" s="23" t="n">
        <f aca="false">SUM(D3:D5)</f>
        <v>35000</v>
      </c>
      <c r="E6" s="23" t="n">
        <f aca="false">SUM(E3:E5)</f>
        <v>108096</v>
      </c>
      <c r="F6" s="24" t="n">
        <f aca="false">AVERAGE(F3:F5)</f>
        <v>0.149732620320856</v>
      </c>
      <c r="G6" s="25" t="str">
        <f aca="false">IF(E6&gt;0,"✅ Surplus","❌ Deficit")</f>
        <v>✅ Surplus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6"/>
    <col collapsed="false" customWidth="true" hidden="false" outlineLevel="0" max="5" min="3" style="1" width="12"/>
    <col collapsed="false" customWidth="true" hidden="false" outlineLevel="0" max="7" min="6" style="1" width="14"/>
  </cols>
  <sheetData>
    <row r="1" customFormat="false" ht="31.5" hidden="false" customHeight="true" outlineLevel="0" collapsed="false">
      <c r="A1" s="2" t="s">
        <v>120</v>
      </c>
      <c r="B1" s="2"/>
      <c r="C1" s="2"/>
      <c r="D1" s="2"/>
      <c r="E1" s="2"/>
    </row>
    <row r="2" customFormat="false" ht="21.75" hidden="false" customHeight="true" outlineLevel="0" collapsed="false">
      <c r="A2" s="3" t="s">
        <v>3</v>
      </c>
      <c r="B2" s="3" t="s">
        <v>5</v>
      </c>
      <c r="C2" s="3" t="s">
        <v>121</v>
      </c>
      <c r="D2" s="3" t="s">
        <v>122</v>
      </c>
      <c r="E2" s="3" t="s">
        <v>123</v>
      </c>
      <c r="F2" s="3" t="s">
        <v>124</v>
      </c>
      <c r="G2" s="3" t="s">
        <v>125</v>
      </c>
    </row>
    <row r="3" customFormat="false" ht="15" hidden="false" customHeight="true" outlineLevel="0" collapsed="false">
      <c r="A3" s="26" t="s">
        <v>17</v>
      </c>
      <c r="B3" s="27" t="s">
        <v>126</v>
      </c>
      <c r="C3" s="28" t="n">
        <f aca="false">SUMIFS('Raw Data'!G:G,'Raw Data'!B:B,"January",'Raw Data'!C:C,A3,'Raw Data'!F:F,"Expense")</f>
        <v>15000</v>
      </c>
      <c r="D3" s="28" t="n">
        <f aca="false">SUMIFS('Raw Data'!G:G,'Raw Data'!B:B,"February",'Raw Data'!C:C,A3,'Raw Data'!F:F,"Expense")</f>
        <v>15000</v>
      </c>
      <c r="E3" s="28" t="n">
        <f aca="false">SUMIFS('Raw Data'!G:G,'Raw Data'!B:B,"March",'Raw Data'!C:C,A3,'Raw Data'!F:F,"Expense")</f>
        <v>15000</v>
      </c>
      <c r="F3" s="29" t="n">
        <f aca="false">SUM(C3:E3)</f>
        <v>45000</v>
      </c>
      <c r="G3" s="30" t="n">
        <f aca="false">IFERROR(F3/F11,0)</f>
        <v>0.506163952128138</v>
      </c>
    </row>
    <row r="4" customFormat="false" ht="15" hidden="false" customHeight="true" outlineLevel="0" collapsed="false">
      <c r="A4" s="31" t="s">
        <v>22</v>
      </c>
      <c r="B4" s="32" t="s">
        <v>127</v>
      </c>
      <c r="C4" s="33" t="n">
        <f aca="false">SUMIFS('Raw Data'!G:G,'Raw Data'!B:B,"January",'Raw Data'!C:C,A4,'Raw Data'!F:F,"Expense")</f>
        <v>7500</v>
      </c>
      <c r="D4" s="33" t="n">
        <f aca="false">SUMIFS('Raw Data'!G:G,'Raw Data'!B:B,"February",'Raw Data'!C:C,A4,'Raw Data'!F:F,"Expense")</f>
        <v>6150</v>
      </c>
      <c r="E4" s="33" t="n">
        <f aca="false">SUMIFS('Raw Data'!G:G,'Raw Data'!B:B,"March",'Raw Data'!C:C,A4,'Raw Data'!F:F,"Expense")</f>
        <v>7000</v>
      </c>
      <c r="F4" s="29" t="n">
        <f aca="false">SUM(C4:E4)</f>
        <v>20650</v>
      </c>
      <c r="G4" s="34" t="n">
        <f aca="false">IFERROR(F4/F11,0)</f>
        <v>0.23227301358769</v>
      </c>
    </row>
    <row r="5" customFormat="false" ht="15" hidden="false" customHeight="true" outlineLevel="0" collapsed="false">
      <c r="A5" s="26" t="s">
        <v>26</v>
      </c>
      <c r="B5" s="27" t="s">
        <v>128</v>
      </c>
      <c r="C5" s="28" t="n">
        <f aca="false">SUMIFS('Raw Data'!G:G,'Raw Data'!B:B,"January",'Raw Data'!C:C,A5,'Raw Data'!F:F,"Expense")</f>
        <v>1200</v>
      </c>
      <c r="D5" s="28" t="n">
        <f aca="false">SUMIFS('Raw Data'!G:G,'Raw Data'!B:B,"February",'Raw Data'!C:C,A5,'Raw Data'!F:F,"Expense")</f>
        <v>1800</v>
      </c>
      <c r="E5" s="28" t="n">
        <f aca="false">SUMIFS('Raw Data'!G:G,'Raw Data'!B:B,"March",'Raw Data'!C:C,A5,'Raw Data'!F:F,"Expense")</f>
        <v>1400</v>
      </c>
      <c r="F5" s="29" t="n">
        <f aca="false">SUM(C5:E5)</f>
        <v>4400</v>
      </c>
      <c r="G5" s="30" t="n">
        <f aca="false">IFERROR(F5/F11,0)</f>
        <v>0.0494915864303069</v>
      </c>
    </row>
    <row r="6" customFormat="false" ht="15" hidden="false" customHeight="true" outlineLevel="0" collapsed="false">
      <c r="A6" s="31" t="s">
        <v>30</v>
      </c>
      <c r="B6" s="32" t="s">
        <v>129</v>
      </c>
      <c r="C6" s="33" t="n">
        <f aca="false">SUMIFS('Raw Data'!G:G,'Raw Data'!B:B,"January",'Raw Data'!C:C,A6,'Raw Data'!F:F,"Expense")</f>
        <v>1149</v>
      </c>
      <c r="D6" s="33" t="n">
        <f aca="false">SUMIFS('Raw Data'!G:G,'Raw Data'!B:B,"February",'Raw Data'!C:C,A6,'Raw Data'!F:F,"Expense")</f>
        <v>1219</v>
      </c>
      <c r="E6" s="33" t="n">
        <f aca="false">SUMIFS('Raw Data'!G:G,'Raw Data'!B:B,"March",'Raw Data'!C:C,A6,'Raw Data'!F:F,"Expense")</f>
        <v>1079</v>
      </c>
      <c r="F6" s="29" t="n">
        <f aca="false">SUM(C6:E6)</f>
        <v>3447</v>
      </c>
      <c r="G6" s="34" t="n">
        <f aca="false">IFERROR(F6/F11,0)</f>
        <v>0.0387721587330154</v>
      </c>
    </row>
    <row r="7" customFormat="false" ht="15" hidden="false" customHeight="true" outlineLevel="0" collapsed="false">
      <c r="A7" s="26" t="s">
        <v>37</v>
      </c>
      <c r="B7" s="27" t="s">
        <v>130</v>
      </c>
      <c r="C7" s="28" t="n">
        <f aca="false">SUMIFS('Raw Data'!G:G,'Raw Data'!B:B,"January",'Raw Data'!C:C,A7,'Raw Data'!F:F,"Expense")</f>
        <v>649</v>
      </c>
      <c r="D7" s="28" t="n">
        <f aca="false">SUMIFS('Raw Data'!G:G,'Raw Data'!B:B,"February",'Raw Data'!C:C,A7,'Raw Data'!F:F,"Expense")</f>
        <v>1200</v>
      </c>
      <c r="E7" s="28" t="n">
        <f aca="false">SUMIFS('Raw Data'!G:G,'Raw Data'!B:B,"March",'Raw Data'!C:C,A7,'Raw Data'!F:F,"Expense")</f>
        <v>5500</v>
      </c>
      <c r="F7" s="29" t="n">
        <f aca="false">SUM(C7:E7)</f>
        <v>7349</v>
      </c>
      <c r="G7" s="30" t="n">
        <f aca="false">IFERROR(F7/F11,0)</f>
        <v>0.0826621974264375</v>
      </c>
    </row>
    <row r="8" customFormat="false" ht="15" hidden="false" customHeight="true" outlineLevel="0" collapsed="false">
      <c r="A8" s="31" t="s">
        <v>41</v>
      </c>
      <c r="B8" s="32" t="s">
        <v>131</v>
      </c>
      <c r="C8" s="33" t="n">
        <f aca="false">SUMIFS('Raw Data'!G:G,'Raw Data'!B:B,"January",'Raw Data'!C:C,A8,'Raw Data'!F:F,"Expense")</f>
        <v>560</v>
      </c>
      <c r="D8" s="33" t="n">
        <f aca="false">SUMIFS('Raw Data'!G:G,'Raw Data'!B:B,"February",'Raw Data'!C:C,A8,'Raw Data'!F:F,"Expense")</f>
        <v>500</v>
      </c>
      <c r="E8" s="33" t="n">
        <f aca="false">SUMIFS('Raw Data'!G:G,'Raw Data'!B:B,"March",'Raw Data'!C:C,A8,'Raw Data'!F:F,"Expense")</f>
        <v>800</v>
      </c>
      <c r="F8" s="29" t="n">
        <f aca="false">SUM(C8:E8)</f>
        <v>1860</v>
      </c>
      <c r="G8" s="34" t="n">
        <f aca="false">IFERROR(F8/F11,0)</f>
        <v>0.0209214433546297</v>
      </c>
    </row>
    <row r="9" customFormat="false" ht="15" hidden="false" customHeight="true" outlineLevel="0" collapsed="false">
      <c r="A9" s="26" t="s">
        <v>45</v>
      </c>
      <c r="B9" s="27" t="s">
        <v>132</v>
      </c>
      <c r="C9" s="28" t="n">
        <f aca="false">SUMIFS('Raw Data'!G:G,'Raw Data'!B:B,"January",'Raw Data'!C:C,A9,'Raw Data'!F:F,"Expense")</f>
        <v>1999</v>
      </c>
      <c r="D9" s="28" t="n">
        <f aca="false">SUMIFS('Raw Data'!G:G,'Raw Data'!B:B,"February",'Raw Data'!C:C,A9,'Raw Data'!F:F,"Expense")</f>
        <v>0</v>
      </c>
      <c r="E9" s="28" t="n">
        <f aca="false">SUMIFS('Raw Data'!G:G,'Raw Data'!B:B,"March",'Raw Data'!C:C,A9,'Raw Data'!F:F,"Expense")</f>
        <v>699</v>
      </c>
      <c r="F9" s="29" t="n">
        <f aca="false">SUM(C9:E9)</f>
        <v>2698</v>
      </c>
      <c r="G9" s="30" t="n">
        <f aca="false">IFERROR(F9/F11,0)</f>
        <v>0.0303473409520382</v>
      </c>
    </row>
    <row r="10" customFormat="false" ht="15" hidden="false" customHeight="true" outlineLevel="0" collapsed="false">
      <c r="A10" s="31" t="s">
        <v>76</v>
      </c>
      <c r="B10" s="32" t="s">
        <v>133</v>
      </c>
      <c r="C10" s="33" t="n">
        <f aca="false">SUMIFS('Raw Data'!G:G,'Raw Data'!B:B,"January",'Raw Data'!C:C,A10,'Raw Data'!F:F,"Expense")</f>
        <v>0</v>
      </c>
      <c r="D10" s="33" t="n">
        <f aca="false">SUMIFS('Raw Data'!G:G,'Raw Data'!B:B,"February",'Raw Data'!C:C,A10,'Raw Data'!F:F,"Expense")</f>
        <v>3500</v>
      </c>
      <c r="E10" s="33" t="n">
        <f aca="false">SUMIFS('Raw Data'!G:G,'Raw Data'!B:B,"March",'Raw Data'!C:C,A10,'Raw Data'!F:F,"Expense")</f>
        <v>0</v>
      </c>
      <c r="F10" s="29" t="n">
        <f aca="false">SUM(C10:E10)</f>
        <v>3500</v>
      </c>
      <c r="G10" s="34" t="n">
        <f aca="false">IFERROR(F10/F11,0)</f>
        <v>0.0393683073877441</v>
      </c>
    </row>
    <row r="11" customFormat="false" ht="15" hidden="false" customHeight="true" outlineLevel="0" collapsed="false">
      <c r="A11" s="22" t="s">
        <v>134</v>
      </c>
      <c r="B11" s="35" t="s">
        <v>135</v>
      </c>
      <c r="C11" s="36" t="n">
        <f aca="false">SUM(C3:C10)</f>
        <v>28057</v>
      </c>
      <c r="D11" s="36" t="n">
        <f aca="false">SUM(D3:D10)</f>
        <v>29369</v>
      </c>
      <c r="E11" s="36" t="n">
        <f aca="false">SUM(E3:E10)</f>
        <v>31478</v>
      </c>
      <c r="F11" s="36" t="n">
        <f aca="false">SUM(F3:F10)</f>
        <v>88904</v>
      </c>
      <c r="G11" s="37" t="n">
        <f aca="false">SUM(G3:G10)</f>
        <v>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L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4"/>
    <col collapsed="false" customWidth="true" hidden="false" outlineLevel="0" max="4" min="4" style="1" width="14"/>
    <col collapsed="false" customWidth="true" hidden="false" outlineLevel="0" max="5" min="5" style="1" width="4"/>
    <col collapsed="false" customWidth="true" hidden="false" outlineLevel="0" max="6" min="6" style="1" width="14"/>
    <col collapsed="false" customWidth="true" hidden="false" outlineLevel="0" max="7" min="7" style="1" width="4"/>
    <col collapsed="false" customWidth="true" hidden="false" outlineLevel="0" max="8" min="8" style="1" width="14"/>
    <col collapsed="false" customWidth="true" hidden="false" outlineLevel="0" max="9" min="9" style="1" width="4"/>
    <col collapsed="false" customWidth="true" hidden="false" outlineLevel="0" max="10" min="10" style="1" width="14"/>
    <col collapsed="false" customWidth="true" hidden="false" outlineLevel="0" max="11" min="11" style="1" width="4"/>
  </cols>
  <sheetData>
    <row r="1" customFormat="false" ht="39.75" hidden="false" customHeight="true" outlineLevel="0" collapsed="false">
      <c r="A1" s="38" t="s">
        <v>136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5" hidden="false" customHeight="true" outlineLevel="0" collapsed="false">
      <c r="A2" s="39" t="s">
        <v>137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4" customFormat="false" ht="19.5" hidden="false" customHeight="true" outlineLevel="0" collapsed="false">
      <c r="A4" s="40" t="s">
        <v>138</v>
      </c>
      <c r="B4" s="40"/>
      <c r="C4" s="40"/>
      <c r="D4" s="40" t="s">
        <v>139</v>
      </c>
      <c r="E4" s="40"/>
      <c r="F4" s="40"/>
      <c r="G4" s="40" t="s">
        <v>140</v>
      </c>
      <c r="H4" s="40"/>
      <c r="I4" s="40"/>
      <c r="J4" s="40" t="s">
        <v>141</v>
      </c>
      <c r="K4" s="40"/>
      <c r="L4" s="40"/>
    </row>
    <row r="5" customFormat="false" ht="19.5" hidden="false" customHeight="true" outlineLevel="0" collapsed="false">
      <c r="A5" s="41" t="n">
        <f aca="false">SUM('Monthly Summary'!B3:B5)</f>
        <v>232000</v>
      </c>
      <c r="B5" s="41"/>
      <c r="C5" s="41"/>
      <c r="D5" s="42" t="n">
        <f aca="false">SUM('Monthly Summary'!C3:C5)</f>
        <v>88904</v>
      </c>
      <c r="E5" s="42"/>
      <c r="F5" s="42"/>
      <c r="G5" s="43" t="n">
        <f aca="false">SUM('Monthly Summary'!D3:D5)</f>
        <v>35000</v>
      </c>
      <c r="H5" s="43"/>
      <c r="I5" s="43"/>
      <c r="J5" s="44" t="n">
        <f aca="false">AVERAGE('Monthly Summary'!F3:F5)</f>
        <v>0.149732620320856</v>
      </c>
      <c r="K5" s="44"/>
      <c r="L5" s="44"/>
    </row>
    <row r="6" customFormat="false" ht="19.5" hidden="false" customHeight="true" outlineLevel="0" collapsed="false">
      <c r="A6" s="45"/>
      <c r="B6" s="45"/>
      <c r="C6" s="45"/>
      <c r="D6" s="46"/>
      <c r="E6" s="46"/>
      <c r="F6" s="46"/>
      <c r="G6" s="47"/>
      <c r="H6" s="47"/>
      <c r="I6" s="47"/>
      <c r="J6" s="48"/>
      <c r="K6" s="48"/>
      <c r="L6" s="48"/>
    </row>
    <row r="7" customFormat="false" ht="19.5" hidden="false" customHeight="true" outlineLevel="0" collapsed="false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</row>
    <row r="9" customFormat="false" ht="15" hidden="false" customHeight="true" outlineLevel="0" collapsed="false">
      <c r="A9" s="50" t="s">
        <v>142</v>
      </c>
      <c r="B9" s="50"/>
      <c r="C9" s="50"/>
      <c r="D9" s="50"/>
      <c r="E9" s="50"/>
      <c r="F9" s="50"/>
      <c r="G9" s="50"/>
      <c r="H9" s="50"/>
      <c r="I9" s="50"/>
      <c r="J9" s="50"/>
      <c r="K9" s="50"/>
    </row>
    <row r="10" customFormat="false" ht="39.75" hidden="false" customHeight="true" outlineLevel="0" collapsed="false">
      <c r="A10" s="51" t="n">
        <f aca="false">SUM('Monthly Summary'!E3:E5)</f>
        <v>108096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</row>
    <row r="11" customFormat="false" ht="24" hidden="false" customHeight="true" outlineLevel="0" collapsed="false">
      <c r="A11" s="52" t="str">
        <f aca="false">IF(A10&gt;0,"✅ You are on track! Keep saving consistently.",IF(A10=0,"⚖️ Break Even — Try to increase savings.","❌ Overspent! Review your expenses immediately."))</f>
        <v>✅ You are on track! Keep saving consistently.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</row>
    <row r="13" customFormat="false" ht="21.75" hidden="false" customHeight="true" outlineLevel="0" collapsed="false">
      <c r="A13" s="53" t="s">
        <v>143</v>
      </c>
      <c r="B13" s="53"/>
      <c r="C13" s="53"/>
      <c r="D13" s="53"/>
      <c r="E13" s="53"/>
    </row>
    <row r="14" customFormat="false" ht="15" hidden="false" customHeight="true" outlineLevel="0" collapsed="false">
      <c r="A14" s="54" t="s">
        <v>144</v>
      </c>
      <c r="B14" s="54"/>
      <c r="C14" s="54"/>
      <c r="D14" s="55" t="str">
        <f aca="false">INDEX('Monthly Summary'!A3:A5,MATCH(MAX('Monthly Summary'!B3:B5),'Monthly Summary'!B3:B5,0))</f>
        <v>March</v>
      </c>
      <c r="E14" s="55"/>
    </row>
    <row r="15" customFormat="false" ht="15" hidden="false" customHeight="true" outlineLevel="0" collapsed="false">
      <c r="A15" s="56" t="s">
        <v>145</v>
      </c>
      <c r="B15" s="56"/>
      <c r="C15" s="56"/>
      <c r="D15" s="57" t="str">
        <f aca="false">INDEX('Monthly Summary'!A3:A5,MATCH(MAX('Monthly Summary'!C3:C5),'Monthly Summary'!C3:C5,0))</f>
        <v>March</v>
      </c>
      <c r="E15" s="57"/>
    </row>
    <row r="16" customFormat="false" ht="15" hidden="false" customHeight="true" outlineLevel="0" collapsed="false">
      <c r="A16" s="54" t="s">
        <v>146</v>
      </c>
      <c r="B16" s="54"/>
      <c r="C16" s="54"/>
      <c r="D16" s="55" t="str">
        <f aca="false">INDEX('Monthly Summary'!A3:A5,MATCH(MAX('Monthly Summary'!D3:D5),'Monthly Summary'!D3:D5,0))</f>
        <v>March</v>
      </c>
      <c r="E16" s="55"/>
    </row>
    <row r="17" customFormat="false" ht="15" hidden="false" customHeight="true" outlineLevel="0" collapsed="false">
      <c r="A17" s="56" t="s">
        <v>147</v>
      </c>
      <c r="B17" s="56"/>
      <c r="C17" s="56"/>
      <c r="D17" s="57" t="n">
        <f aca="false">AVERAGE('Monthly Summary'!B3:B5)</f>
        <v>77333.3333333333</v>
      </c>
      <c r="E17" s="57"/>
    </row>
    <row r="18" customFormat="false" ht="15" hidden="false" customHeight="true" outlineLevel="0" collapsed="false">
      <c r="A18" s="54" t="s">
        <v>148</v>
      </c>
      <c r="B18" s="54"/>
      <c r="C18" s="54"/>
      <c r="D18" s="55" t="n">
        <f aca="false">AVERAGE('Monthly Summary'!C3:C5)</f>
        <v>29634.6666666667</v>
      </c>
      <c r="E18" s="55"/>
    </row>
    <row r="19" customFormat="false" ht="15" hidden="false" customHeight="true" outlineLevel="0" collapsed="false">
      <c r="A19" s="56" t="s">
        <v>149</v>
      </c>
      <c r="B19" s="56"/>
      <c r="C19" s="56"/>
      <c r="D19" s="57" t="str">
        <f aca="false">INDEX('Category Breakdown'!A3:A10,MATCH(MAX('Category Breakdown'!F3:F10),'Category Breakdown'!F3:F10,0))</f>
        <v>Housing</v>
      </c>
      <c r="E19" s="57"/>
    </row>
  </sheetData>
  <mergeCells count="34">
    <mergeCell ref="A1:K1"/>
    <mergeCell ref="A2:K2"/>
    <mergeCell ref="A4:C4"/>
    <mergeCell ref="D4:F4"/>
    <mergeCell ref="G4:I4"/>
    <mergeCell ref="J4:L4"/>
    <mergeCell ref="A5:C5"/>
    <mergeCell ref="D5:F5"/>
    <mergeCell ref="G5:I5"/>
    <mergeCell ref="J5:L5"/>
    <mergeCell ref="A6:C6"/>
    <mergeCell ref="D6:F6"/>
    <mergeCell ref="G6:I6"/>
    <mergeCell ref="J6:L6"/>
    <mergeCell ref="A7:C7"/>
    <mergeCell ref="D7:F7"/>
    <mergeCell ref="G7:I7"/>
    <mergeCell ref="J7:L7"/>
    <mergeCell ref="A9:K9"/>
    <mergeCell ref="A10:K10"/>
    <mergeCell ref="A11:K11"/>
    <mergeCell ref="A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C1"/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80"/>
  </cols>
  <sheetData>
    <row r="1" customFormat="false" ht="31.5" hidden="false" customHeight="true" outlineLevel="0" collapsed="false">
      <c r="A1" s="2" t="s">
        <v>150</v>
      </c>
      <c r="B1" s="2"/>
      <c r="C1" s="2"/>
      <c r="D1" s="2"/>
    </row>
    <row r="2" customFormat="false" ht="18" hidden="false" customHeight="true" outlineLevel="0" collapsed="false">
      <c r="A2" s="58" t="s">
        <v>151</v>
      </c>
      <c r="B2" s="59" t="s">
        <v>152</v>
      </c>
      <c r="C2" s="59"/>
      <c r="D2" s="59"/>
    </row>
    <row r="3" customFormat="false" ht="18" hidden="false" customHeight="true" outlineLevel="0" collapsed="false">
      <c r="A3" s="60" t="s">
        <v>153</v>
      </c>
      <c r="B3" s="61" t="s">
        <v>154</v>
      </c>
      <c r="C3" s="61"/>
      <c r="D3" s="61"/>
    </row>
    <row r="4" customFormat="false" ht="18" hidden="false" customHeight="true" outlineLevel="0" collapsed="false">
      <c r="A4" s="62" t="s">
        <v>155</v>
      </c>
      <c r="B4" s="63" t="s">
        <v>156</v>
      </c>
      <c r="C4" s="63"/>
      <c r="D4" s="63"/>
    </row>
    <row r="5" customFormat="false" ht="18" hidden="false" customHeight="true" outlineLevel="0" collapsed="false">
      <c r="A5" s="64"/>
      <c r="B5" s="65"/>
      <c r="C5" s="65"/>
      <c r="D5" s="65"/>
    </row>
    <row r="6" customFormat="false" ht="18" hidden="false" customHeight="true" outlineLevel="0" collapsed="false">
      <c r="A6" s="66" t="s">
        <v>157</v>
      </c>
      <c r="B6" s="67"/>
      <c r="C6" s="67"/>
      <c r="D6" s="67"/>
    </row>
    <row r="7" customFormat="false" ht="18" hidden="false" customHeight="true" outlineLevel="0" collapsed="false">
      <c r="A7" s="68" t="s">
        <v>158</v>
      </c>
      <c r="B7" s="69" t="s">
        <v>159</v>
      </c>
      <c r="C7" s="69"/>
      <c r="D7" s="69"/>
    </row>
    <row r="8" customFormat="false" ht="18" hidden="false" customHeight="true" outlineLevel="0" collapsed="false">
      <c r="A8" s="68" t="s">
        <v>160</v>
      </c>
      <c r="B8" s="69" t="s">
        <v>161</v>
      </c>
      <c r="C8" s="69"/>
      <c r="D8" s="69"/>
    </row>
    <row r="9" customFormat="false" ht="18" hidden="false" customHeight="true" outlineLevel="0" collapsed="false">
      <c r="A9" s="68" t="s">
        <v>162</v>
      </c>
      <c r="B9" s="69" t="s">
        <v>163</v>
      </c>
      <c r="C9" s="69"/>
      <c r="D9" s="69"/>
    </row>
    <row r="10" customFormat="false" ht="18" hidden="false" customHeight="true" outlineLevel="0" collapsed="false">
      <c r="A10" s="68" t="s">
        <v>164</v>
      </c>
      <c r="B10" s="69" t="s">
        <v>165</v>
      </c>
      <c r="C10" s="69"/>
      <c r="D10" s="69"/>
    </row>
    <row r="11" customFormat="false" ht="18" hidden="false" customHeight="true" outlineLevel="0" collapsed="false">
      <c r="A11" s="64"/>
      <c r="B11" s="65"/>
      <c r="C11" s="65"/>
      <c r="D11" s="65"/>
    </row>
    <row r="12" customFormat="false" ht="18" hidden="false" customHeight="true" outlineLevel="0" collapsed="false">
      <c r="A12" s="66" t="s">
        <v>166</v>
      </c>
      <c r="B12" s="67"/>
      <c r="C12" s="67"/>
      <c r="D12" s="67"/>
    </row>
    <row r="13" customFormat="false" ht="18" hidden="false" customHeight="true" outlineLevel="0" collapsed="false">
      <c r="A13" s="70" t="s">
        <v>167</v>
      </c>
      <c r="B13" s="71" t="s">
        <v>168</v>
      </c>
      <c r="C13" s="71"/>
      <c r="D13" s="71"/>
    </row>
    <row r="14" customFormat="false" ht="18" hidden="false" customHeight="true" outlineLevel="0" collapsed="false">
      <c r="A14" s="70" t="s">
        <v>169</v>
      </c>
      <c r="B14" s="71" t="s">
        <v>170</v>
      </c>
      <c r="C14" s="71"/>
      <c r="D14" s="71"/>
    </row>
    <row r="15" customFormat="false" ht="18" hidden="false" customHeight="true" outlineLevel="0" collapsed="false">
      <c r="A15" s="70" t="s">
        <v>171</v>
      </c>
      <c r="B15" s="71" t="s">
        <v>172</v>
      </c>
      <c r="C15" s="71"/>
      <c r="D15" s="71"/>
    </row>
    <row r="16" customFormat="false" ht="18" hidden="false" customHeight="true" outlineLevel="0" collapsed="false">
      <c r="A16" s="70" t="s">
        <v>173</v>
      </c>
      <c r="B16" s="71" t="s">
        <v>174</v>
      </c>
      <c r="C16" s="71"/>
      <c r="D16" s="71"/>
    </row>
    <row r="17" customFormat="false" ht="18" hidden="false" customHeight="true" outlineLevel="0" collapsed="false">
      <c r="A17" s="64"/>
      <c r="B17" s="65"/>
      <c r="C17" s="65"/>
      <c r="D17" s="65"/>
    </row>
    <row r="18" customFormat="false" ht="18" hidden="false" customHeight="true" outlineLevel="0" collapsed="false">
      <c r="A18" s="66" t="s">
        <v>175</v>
      </c>
      <c r="B18" s="67"/>
      <c r="C18" s="67"/>
      <c r="D18" s="67"/>
    </row>
    <row r="19" customFormat="false" ht="18" hidden="false" customHeight="true" outlineLevel="0" collapsed="false">
      <c r="A19" s="72" t="s">
        <v>176</v>
      </c>
      <c r="B19" s="73" t="s">
        <v>177</v>
      </c>
      <c r="C19" s="73"/>
      <c r="D19" s="73"/>
    </row>
    <row r="20" customFormat="false" ht="18" hidden="false" customHeight="true" outlineLevel="0" collapsed="false">
      <c r="A20" s="72" t="s">
        <v>178</v>
      </c>
      <c r="B20" s="73" t="s">
        <v>179</v>
      </c>
      <c r="C20" s="73"/>
      <c r="D20" s="73"/>
    </row>
    <row r="21" customFormat="false" ht="18" hidden="false" customHeight="true" outlineLevel="0" collapsed="false">
      <c r="A21" s="72" t="s">
        <v>180</v>
      </c>
      <c r="B21" s="73" t="s">
        <v>181</v>
      </c>
      <c r="C21" s="73"/>
      <c r="D21" s="73"/>
    </row>
    <row r="22" customFormat="false" ht="18" hidden="false" customHeight="true" outlineLevel="0" collapsed="false">
      <c r="A22" s="72" t="s">
        <v>182</v>
      </c>
      <c r="B22" s="73" t="s">
        <v>183</v>
      </c>
      <c r="C22" s="73"/>
      <c r="D22" s="73"/>
    </row>
    <row r="23" customFormat="false" ht="18" hidden="false" customHeight="true" outlineLevel="0" collapsed="false">
      <c r="A23" s="64"/>
      <c r="B23" s="65"/>
      <c r="C23" s="65"/>
      <c r="D23" s="65"/>
    </row>
    <row r="24" customFormat="false" ht="18" hidden="false" customHeight="true" outlineLevel="0" collapsed="false">
      <c r="A24" s="66" t="s">
        <v>184</v>
      </c>
      <c r="B24" s="67"/>
      <c r="C24" s="67"/>
      <c r="D24" s="67"/>
    </row>
    <row r="25" customFormat="false" ht="18" hidden="false" customHeight="true" outlineLevel="0" collapsed="false">
      <c r="A25" s="74" t="s">
        <v>167</v>
      </c>
      <c r="B25" s="75" t="s">
        <v>185</v>
      </c>
      <c r="C25" s="75"/>
      <c r="D25" s="75"/>
    </row>
    <row r="26" customFormat="false" ht="18" hidden="false" customHeight="true" outlineLevel="0" collapsed="false">
      <c r="A26" s="74" t="s">
        <v>169</v>
      </c>
      <c r="B26" s="75" t="s">
        <v>186</v>
      </c>
      <c r="C26" s="75"/>
      <c r="D26" s="75"/>
    </row>
    <row r="27" customFormat="false" ht="18" hidden="false" customHeight="true" outlineLevel="0" collapsed="false">
      <c r="A27" s="74" t="s">
        <v>171</v>
      </c>
      <c r="B27" s="75" t="s">
        <v>187</v>
      </c>
      <c r="C27" s="75"/>
      <c r="D27" s="75"/>
    </row>
    <row r="28" customFormat="false" ht="18" hidden="false" customHeight="true" outlineLevel="0" collapsed="false">
      <c r="A28" s="74" t="s">
        <v>173</v>
      </c>
      <c r="B28" s="75" t="s">
        <v>188</v>
      </c>
      <c r="C28" s="75"/>
      <c r="D28" s="75"/>
    </row>
  </sheetData>
  <mergeCells count="28">
    <mergeCell ref="A1:D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2026-05-10T03:51:36Z</dcterms:created>
  <dc:creator>openpyxl</dc:creator>
  <dc:description/>
  <dc:language>en-US</dc:language>
  <cp:lastModifiedBy/>
  <dcterms:modified xsi:type="dcterms:W3CDTF">2026-05-10T03:51:57Z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